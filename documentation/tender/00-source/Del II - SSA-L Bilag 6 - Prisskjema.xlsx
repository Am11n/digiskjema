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hikt.sharepoint.com/sites/IN-N-Skjemakontor/Delte dokumenter/General/Anskaffelsesprosess/2. Planleggingsfasen/"/>
    </mc:Choice>
  </mc:AlternateContent>
  <xr:revisionPtr revIDLastSave="1797" documentId="8_{022CEE2B-1AA1-44CA-951C-9B4F9C0B4702}" xr6:coauthVersionLast="47" xr6:coauthVersionMax="47" xr10:uidLastSave="{FD01A1F6-E8E6-4B64-AF90-8F4D011E2A70}"/>
  <bookViews>
    <workbookView xWindow="390" yWindow="390" windowWidth="33870" windowHeight="15345" firstSheet="1" xr2:uid="{8EBB5F8F-AE45-443A-B3FE-AD15E03CBB5B}"/>
  </bookViews>
  <sheets>
    <sheet name="Innbyggere_brukere" sheetId="4" r:id="rId1"/>
    <sheet name="Felles" sheetId="1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4" l="1"/>
  <c r="I71" i="14"/>
  <c r="I69" i="14"/>
  <c r="I15" i="14"/>
  <c r="I14" i="14"/>
  <c r="I58" i="14"/>
  <c r="I59" i="14"/>
  <c r="I57" i="14"/>
  <c r="I11" i="14"/>
  <c r="I12" i="14"/>
  <c r="I13" i="14"/>
  <c r="I65" i="14"/>
  <c r="I37" i="14"/>
  <c r="I38" i="14"/>
  <c r="I39" i="14"/>
  <c r="I40" i="14"/>
  <c r="I41" i="14"/>
  <c r="I42" i="14"/>
  <c r="I43" i="14"/>
  <c r="I36" i="14"/>
  <c r="I19" i="14"/>
  <c r="I20" i="14"/>
  <c r="I21" i="14"/>
  <c r="I22" i="14"/>
  <c r="I23" i="14"/>
  <c r="I24" i="14"/>
  <c r="I25" i="14"/>
  <c r="I18" i="14"/>
  <c r="I53" i="14"/>
  <c r="I54" i="14" s="1"/>
  <c r="I86" i="14" s="1"/>
  <c r="I75" i="14"/>
  <c r="I63" i="14"/>
  <c r="I30" i="14"/>
  <c r="I31" i="14"/>
  <c r="I32" i="14"/>
  <c r="I29" i="14"/>
  <c r="I5" i="14"/>
  <c r="I6" i="14"/>
  <c r="I7" i="14"/>
  <c r="I8" i="14"/>
  <c r="I9" i="14"/>
  <c r="I10" i="14"/>
  <c r="I4" i="14"/>
  <c r="I76" i="14"/>
  <c r="I48" i="14"/>
  <c r="I47" i="14"/>
  <c r="I64" i="14"/>
  <c r="I72" i="14" l="1"/>
  <c r="I89" i="14" s="1"/>
  <c r="I60" i="14"/>
  <c r="I87" i="14" s="1"/>
  <c r="I44" i="14"/>
  <c r="I84" i="14" s="1"/>
  <c r="I77" i="14"/>
  <c r="I90" i="14" s="1"/>
  <c r="I33" i="14"/>
  <c r="I83" i="14" s="1"/>
  <c r="I81" i="14"/>
  <c r="I49" i="14"/>
  <c r="I85" i="14" s="1"/>
  <c r="I66" i="14"/>
  <c r="I88" i="14" s="1"/>
  <c r="I26" i="14" l="1"/>
  <c r="I82" i="14" s="1"/>
  <c r="I91" i="14" l="1"/>
</calcChain>
</file>

<file path=xl/sharedStrings.xml><?xml version="1.0" encoding="utf-8"?>
<sst xmlns="http://schemas.openxmlformats.org/spreadsheetml/2006/main" count="149" uniqueCount="89">
  <si>
    <t>Lisens</t>
  </si>
  <si>
    <t>Kommune</t>
  </si>
  <si>
    <t>Åsnes</t>
  </si>
  <si>
    <t>Våler</t>
  </si>
  <si>
    <t>Nord-Odal</t>
  </si>
  <si>
    <t>Sør-Odal</t>
  </si>
  <si>
    <t>Kongsvinger</t>
  </si>
  <si>
    <t>Grue</t>
  </si>
  <si>
    <t>Hamar</t>
  </si>
  <si>
    <t>Stange</t>
  </si>
  <si>
    <t>Løten</t>
  </si>
  <si>
    <t>Type bruker</t>
  </si>
  <si>
    <t>Administrator*</t>
  </si>
  <si>
    <t>Skjemautvikler</t>
  </si>
  <si>
    <t>2 til 3</t>
  </si>
  <si>
    <t>1 til 2</t>
  </si>
  <si>
    <t>Antall innbyggere**</t>
  </si>
  <si>
    <t>Prisskjema skjemaløsning, alle priser skal oppgis eksklusive mva</t>
  </si>
  <si>
    <t>Pris for tjenesten månedlig</t>
  </si>
  <si>
    <t>Antall måneder</t>
  </si>
  <si>
    <t>Enhetspris pr måned</t>
  </si>
  <si>
    <t>Sum</t>
  </si>
  <si>
    <t>Kommentarer</t>
  </si>
  <si>
    <t>Fritt antall brukere</t>
  </si>
  <si>
    <t>Sirkula</t>
  </si>
  <si>
    <t>Fritt antall brukere, ikke forpliktende opsjon</t>
  </si>
  <si>
    <t>Indigo IKT</t>
  </si>
  <si>
    <t>Sum tjenestepris programvare over 4 år</t>
  </si>
  <si>
    <t>Pris for komponenter månedlig</t>
  </si>
  <si>
    <t>Kommunene bestemmer selv hvilke komponenter de ønsker i innføringsløpet</t>
  </si>
  <si>
    <t>Kontakt og reservasjonsregisteret</t>
  </si>
  <si>
    <t>Kjøretøyregisteret</t>
  </si>
  <si>
    <t>Posten Bring (ifbm poststed)</t>
  </si>
  <si>
    <t>SvarUt</t>
  </si>
  <si>
    <t>Folkeregisteret</t>
  </si>
  <si>
    <t>Enhetsregisteret (inklusive underenheter)</t>
  </si>
  <si>
    <t>e-Signering</t>
  </si>
  <si>
    <t>ID-Porten</t>
  </si>
  <si>
    <t>Sum tjenestepris komponenter over 4 år</t>
  </si>
  <si>
    <t>Etablering av tjenesten (prosjektkostnader)</t>
  </si>
  <si>
    <t>Antall</t>
  </si>
  <si>
    <t>Enhetspris</t>
  </si>
  <si>
    <t>Felles etablering</t>
  </si>
  <si>
    <t>Dokumentasjon</t>
  </si>
  <si>
    <t>Migrering/konvertering fra gammel til ny løsning</t>
  </si>
  <si>
    <t>Opsjon, sett pris med utgangspunkt i 60 skjemaer. Prises kun hvis leverandør har støtte for dette</t>
  </si>
  <si>
    <t>Andre etableringskostnader (spesifiser)</t>
  </si>
  <si>
    <t>Sum etablering av tjenesten</t>
  </si>
  <si>
    <t>Etablering av komponenter</t>
  </si>
  <si>
    <t>Antall kommuner</t>
  </si>
  <si>
    <t>Sum etablering av komponenter</t>
  </si>
  <si>
    <t>Opplæring/kurs</t>
  </si>
  <si>
    <t>Antall kurs</t>
  </si>
  <si>
    <t>Prisene inkluderer reisekostnader</t>
  </si>
  <si>
    <t>Kurs for skjemautviklere/administratorer</t>
  </si>
  <si>
    <t>Opsjon</t>
  </si>
  <si>
    <t>Kurs for bruk av flyt, integrasjoner, mer avansert bruk</t>
  </si>
  <si>
    <t>Sum opplæring/kurs</t>
  </si>
  <si>
    <t>Opsjonell funksjonalitet, flytprosesser, engangskost for etablering</t>
  </si>
  <si>
    <t>Etablering</t>
  </si>
  <si>
    <t>Hvis det ikke dekkes av felles etablering/del av samlet løsning</t>
  </si>
  <si>
    <t>Sum etablering flytprosesser</t>
  </si>
  <si>
    <t>Opsjonell funksjonalitet flytprosesser, pris for drift og vedlikehold</t>
  </si>
  <si>
    <t>Flytprosesser stor kommune</t>
  </si>
  <si>
    <t>Hvis det ikke dekkes av standard løsning (månedlig pris), Med stor kommune menes over 15.000 innbyggere</t>
  </si>
  <si>
    <t>Flytprosesser medium kommune</t>
  </si>
  <si>
    <t>Hvis det ikke dekkes av standard løsning (månedlig pris), Med medium kommune menes mellom 8000 og 15.000 innbyggere</t>
  </si>
  <si>
    <t>Flytprosesser liten kommune</t>
  </si>
  <si>
    <t>Hvis det ikke dekkes av standard løsning (månedlig pris), Med liten kommune menes under 8000 innbyggere</t>
  </si>
  <si>
    <t>Sum flytprosesser over 4 år</t>
  </si>
  <si>
    <t>Integrasjoner (etablering pr database)</t>
  </si>
  <si>
    <t>Antall databaser</t>
  </si>
  <si>
    <t xml:space="preserve">Betalingsløsning </t>
  </si>
  <si>
    <t>Det skal avklares i innføringsløpet hvilke kommuner som skal ha denne</t>
  </si>
  <si>
    <t>AD integrasjon og single signon</t>
  </si>
  <si>
    <t>Elements cloud</t>
  </si>
  <si>
    <t>Sum Integrasjoner etablering</t>
  </si>
  <si>
    <t>Vedlikehold og drift av integrasjoner månedlig</t>
  </si>
  <si>
    <t>Betalingsløsning</t>
  </si>
  <si>
    <t>Sum vedlikehold og drift integrasjoner over 4 år</t>
  </si>
  <si>
    <t>Timer</t>
  </si>
  <si>
    <t>Antall timer</t>
  </si>
  <si>
    <t>Timespris</t>
  </si>
  <si>
    <t>Fagkonsulent</t>
  </si>
  <si>
    <t>Integrasjons og flytkonsulent</t>
  </si>
  <si>
    <t>Sum Timer</t>
  </si>
  <si>
    <t>Konkurransepris</t>
  </si>
  <si>
    <t>Sum konsulenttimer</t>
  </si>
  <si>
    <t>Konkurransepris over 4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</si>
</sst>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kr&quot;\ * #,##0.00_-;\-&quot;kr&quot;\ * #,##0.00_-;_-&quot;kr&quot;\ * &quot;-&quot;??_-;_-@_-"/>
    <numFmt numFmtId="165" formatCode="_-[$kr-414]\ * #,##0.00_-;\-[$kr-414]\ * #,##0.00_-;_-[$kr-414]\ 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6" borderId="0" applyNumberFormat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3" borderId="0" xfId="0" applyFill="1"/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5" borderId="0" xfId="0" applyFill="1"/>
    <xf numFmtId="0" fontId="2" fillId="5" borderId="0" xfId="0" applyFont="1" applyFill="1"/>
    <xf numFmtId="0" fontId="3" fillId="5" borderId="0" xfId="0" applyFont="1" applyFill="1"/>
    <xf numFmtId="0" fontId="4" fillId="5" borderId="0" xfId="0" applyFont="1" applyFill="1"/>
    <xf numFmtId="0" fontId="5" fillId="4" borderId="0" xfId="0" applyFont="1" applyFill="1" applyAlignment="1">
      <alignment horizontal="left" wrapText="1"/>
    </xf>
    <xf numFmtId="0" fontId="7" fillId="5" borderId="0" xfId="0" applyFont="1" applyFill="1"/>
    <xf numFmtId="0" fontId="6" fillId="4" borderId="0" xfId="0" applyFont="1" applyFill="1" applyAlignment="1">
      <alignment horizontal="left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165" fontId="0" fillId="0" borderId="0" xfId="0" applyNumberFormat="1"/>
    <xf numFmtId="165" fontId="1" fillId="6" borderId="0" xfId="2" applyNumberFormat="1"/>
    <xf numFmtId="44" fontId="0" fillId="0" borderId="0" xfId="1" applyFont="1"/>
    <xf numFmtId="165" fontId="0" fillId="0" borderId="0" xfId="1" applyNumberFormat="1" applyFont="1"/>
    <xf numFmtId="165" fontId="5" fillId="4" borderId="0" xfId="0" applyNumberFormat="1" applyFont="1" applyFill="1" applyAlignment="1">
      <alignment horizontal="left" wrapText="1"/>
    </xf>
    <xf numFmtId="165" fontId="1" fillId="6" borderId="1" xfId="2" applyNumberFormat="1" applyBorder="1"/>
    <xf numFmtId="0" fontId="11" fillId="0" borderId="0" xfId="0" applyFont="1"/>
    <xf numFmtId="165" fontId="1" fillId="2" borderId="0" xfId="2" applyNumberFormat="1" applyFill="1" applyBorder="1"/>
    <xf numFmtId="0" fontId="12" fillId="0" borderId="0" xfId="0" applyFont="1"/>
    <xf numFmtId="0" fontId="0" fillId="0" borderId="0" xfId="0" applyAlignment="1">
      <alignment horizontal="left"/>
    </xf>
    <xf numFmtId="44" fontId="0" fillId="0" borderId="0" xfId="0" applyNumberFormat="1"/>
    <xf numFmtId="0" fontId="6" fillId="4" borderId="0" xfId="0" applyFont="1" applyFill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Fill="1" applyBorder="1"/>
  </cellXfs>
  <cellStyles count="3">
    <cellStyle name="20 % – uthevingsfarge 1" xfId="2" builtinId="30"/>
    <cellStyle name="Normal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10</xdr:row>
      <xdr:rowOff>38100</xdr:rowOff>
    </xdr:from>
    <xdr:to>
      <xdr:col>6</xdr:col>
      <xdr:colOff>0</xdr:colOff>
      <xdr:row>18</xdr:row>
      <xdr:rowOff>121920</xdr:rowOff>
    </xdr:to>
    <xdr:sp macro="" textlink="">
      <xdr:nvSpPr>
        <xdr:cNvPr id="2" name="TekstSylinder 2">
          <a:extLst>
            <a:ext uri="{FF2B5EF4-FFF2-40B4-BE49-F238E27FC236}">
              <a16:creationId xmlns:a16="http://schemas.microsoft.com/office/drawing/2014/main" id="{320A3B70-B01A-4025-B53C-F370FB0F528A}"/>
            </a:ext>
            <a:ext uri="{147F2762-F138-4A5C-976F-8EAC2B608ADB}">
              <a16:predDERef xmlns:a16="http://schemas.microsoft.com/office/drawing/2014/main" pred="{D72D4802-1264-5657-04BC-3956C64CD7C9}"/>
            </a:ext>
          </a:extLst>
        </xdr:cNvPr>
        <xdr:cNvSpPr txBox="1"/>
      </xdr:nvSpPr>
      <xdr:spPr>
        <a:xfrm>
          <a:off x="91440" y="1866900"/>
          <a:ext cx="5238750" cy="154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Antall brukere er estimat basert på historisk bruk med siste utregninger i august 2025</a:t>
          </a:r>
          <a:b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b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* Har rettigheter til all funksjonalitet inklusive</a:t>
          </a:r>
          <a:r>
            <a:rPr lang="en-US" sz="1100" b="0" i="0" u="none" strike="noStrike" baseline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tilgangsstyring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**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Tallet over antall innbyggere er hentet fra SSB for 2025, første kvartal.</a:t>
          </a:r>
          <a:endParaRPr lang="nb-NO">
            <a:effectLst/>
          </a:endParaRPr>
        </a:p>
        <a:p>
          <a:pPr marL="0" indent="0" algn="l"/>
          <a:b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b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18F3-FC42-46EE-B0D0-F19C98BDD638}">
  <dimension ref="A2:L7"/>
  <sheetViews>
    <sheetView tabSelected="1" workbookViewId="0">
      <selection activeCell="A7" sqref="A7"/>
    </sheetView>
  </sheetViews>
  <sheetFormatPr defaultColWidth="11.42578125" defaultRowHeight="15"/>
  <sheetData>
    <row r="2" spans="1:12">
      <c r="A2" s="1" t="s">
        <v>0</v>
      </c>
    </row>
    <row r="3" spans="1:12">
      <c r="C3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</row>
    <row r="4" spans="1:12">
      <c r="A4" t="s">
        <v>11</v>
      </c>
    </row>
    <row r="5" spans="1:12">
      <c r="A5" t="s">
        <v>12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</row>
    <row r="6" spans="1:12">
      <c r="A6" t="s">
        <v>13</v>
      </c>
      <c r="D6">
        <v>1</v>
      </c>
      <c r="E6">
        <v>1</v>
      </c>
      <c r="F6" s="4" t="s">
        <v>14</v>
      </c>
      <c r="G6">
        <v>0</v>
      </c>
      <c r="H6">
        <v>1</v>
      </c>
      <c r="I6">
        <v>0</v>
      </c>
      <c r="J6" s="3" t="s">
        <v>15</v>
      </c>
      <c r="K6">
        <v>1</v>
      </c>
      <c r="L6">
        <v>0</v>
      </c>
    </row>
    <row r="7" spans="1:12">
      <c r="A7" t="s">
        <v>16</v>
      </c>
      <c r="D7">
        <v>7236</v>
      </c>
      <c r="E7">
        <v>3564</v>
      </c>
      <c r="F7">
        <v>5002</v>
      </c>
      <c r="G7">
        <v>8142</v>
      </c>
      <c r="H7">
        <v>18157</v>
      </c>
      <c r="I7">
        <v>4497</v>
      </c>
      <c r="J7">
        <v>33516</v>
      </c>
      <c r="K7">
        <v>21740</v>
      </c>
      <c r="L7">
        <v>7929</v>
      </c>
    </row>
  </sheetData>
  <pageMargins left="0.23622047244094491" right="0.23622047244094491" top="0.74803149606299213" bottom="0.74803149606299213" header="0.31496062992125984" footer="0.31496062992125984"/>
  <pageSetup scale="82" orientation="portrait" r:id="rId1"/>
  <headerFooter>
    <oddHeader>&amp;L&amp;"Calibri"&amp;10&amp;K000000 Classification: Restricted&amp;1#_x000D_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810F-546D-4725-BAAD-D7F7170CE42A}">
  <dimension ref="B1:L91"/>
  <sheetViews>
    <sheetView zoomScale="130" zoomScaleNormal="130" workbookViewId="0">
      <selection activeCell="B72" sqref="B72"/>
    </sheetView>
  </sheetViews>
  <sheetFormatPr defaultColWidth="11.42578125" defaultRowHeight="15"/>
  <cols>
    <col min="2" max="2" width="17.7109375" customWidth="1"/>
    <col min="6" max="6" width="15.5703125" bestFit="1" customWidth="1"/>
    <col min="7" max="7" width="23.5703125" customWidth="1"/>
    <col min="8" max="8" width="16.5703125" customWidth="1"/>
    <col min="9" max="9" width="15" customWidth="1"/>
    <col min="10" max="10" width="56.85546875" customWidth="1"/>
  </cols>
  <sheetData>
    <row r="1" spans="2:12" ht="18" customHeight="1">
      <c r="B1" s="21" t="s">
        <v>17</v>
      </c>
      <c r="K1" s="1"/>
      <c r="L1" s="1"/>
    </row>
    <row r="2" spans="2:12" ht="18" customHeight="1">
      <c r="B2" s="21"/>
      <c r="K2" s="1"/>
      <c r="L2" s="1"/>
    </row>
    <row r="3" spans="2:12" ht="15.75">
      <c r="B3" s="27" t="s">
        <v>18</v>
      </c>
      <c r="C3" s="27"/>
      <c r="D3" s="27"/>
      <c r="E3" s="27"/>
      <c r="F3" s="10" t="s">
        <v>19</v>
      </c>
      <c r="G3" s="10" t="s">
        <v>20</v>
      </c>
      <c r="H3" s="10"/>
      <c r="I3" s="10" t="s">
        <v>21</v>
      </c>
      <c r="J3" s="10" t="s">
        <v>22</v>
      </c>
    </row>
    <row r="4" spans="2:12">
      <c r="B4" t="s">
        <v>4</v>
      </c>
      <c r="F4">
        <v>12</v>
      </c>
      <c r="G4" s="15">
        <v>0</v>
      </c>
      <c r="I4" s="15">
        <f>SUM(F4*G4)</f>
        <v>0</v>
      </c>
      <c r="J4" t="s">
        <v>23</v>
      </c>
    </row>
    <row r="5" spans="2:12">
      <c r="B5" t="s">
        <v>5</v>
      </c>
      <c r="F5">
        <v>12</v>
      </c>
      <c r="G5" s="15">
        <v>0</v>
      </c>
      <c r="I5" s="15">
        <f t="shared" ref="I5:I14" si="0">SUM(F5*G5)</f>
        <v>0</v>
      </c>
      <c r="J5" t="s">
        <v>23</v>
      </c>
    </row>
    <row r="6" spans="2:12">
      <c r="B6" t="s">
        <v>10</v>
      </c>
      <c r="F6">
        <v>12</v>
      </c>
      <c r="G6" s="15">
        <v>0</v>
      </c>
      <c r="I6" s="15">
        <f t="shared" si="0"/>
        <v>0</v>
      </c>
      <c r="J6" t="s">
        <v>23</v>
      </c>
    </row>
    <row r="7" spans="2:12">
      <c r="B7" t="s">
        <v>6</v>
      </c>
      <c r="F7">
        <v>12</v>
      </c>
      <c r="G7" s="15">
        <v>0</v>
      </c>
      <c r="I7" s="15">
        <f t="shared" si="0"/>
        <v>0</v>
      </c>
      <c r="J7" t="s">
        <v>23</v>
      </c>
    </row>
    <row r="8" spans="2:12">
      <c r="B8" t="s">
        <v>3</v>
      </c>
      <c r="F8">
        <v>12</v>
      </c>
      <c r="G8" s="15">
        <v>0</v>
      </c>
      <c r="I8" s="15">
        <f t="shared" si="0"/>
        <v>0</v>
      </c>
      <c r="J8" t="s">
        <v>23</v>
      </c>
    </row>
    <row r="9" spans="2:12">
      <c r="B9" t="s">
        <v>7</v>
      </c>
      <c r="F9">
        <v>12</v>
      </c>
      <c r="G9" s="15">
        <v>0</v>
      </c>
      <c r="I9" s="15">
        <f t="shared" si="0"/>
        <v>0</v>
      </c>
      <c r="J9" t="s">
        <v>23</v>
      </c>
    </row>
    <row r="10" spans="2:12">
      <c r="B10" t="s">
        <v>8</v>
      </c>
      <c r="F10">
        <v>12</v>
      </c>
      <c r="G10" s="15">
        <v>0</v>
      </c>
      <c r="I10" s="15">
        <f t="shared" si="0"/>
        <v>0</v>
      </c>
      <c r="J10" t="s">
        <v>23</v>
      </c>
    </row>
    <row r="11" spans="2:12">
      <c r="B11" t="s">
        <v>9</v>
      </c>
      <c r="F11">
        <v>12</v>
      </c>
      <c r="G11" s="15">
        <v>0</v>
      </c>
      <c r="I11" s="15">
        <f t="shared" si="0"/>
        <v>0</v>
      </c>
      <c r="J11" t="s">
        <v>23</v>
      </c>
    </row>
    <row r="12" spans="2:12">
      <c r="B12" t="s">
        <v>2</v>
      </c>
      <c r="F12">
        <v>12</v>
      </c>
      <c r="G12" s="15">
        <v>0</v>
      </c>
      <c r="I12" s="15">
        <f t="shared" si="0"/>
        <v>0</v>
      </c>
      <c r="J12" t="s">
        <v>23</v>
      </c>
    </row>
    <row r="13" spans="2:12">
      <c r="B13" t="s">
        <v>24</v>
      </c>
      <c r="F13">
        <v>12</v>
      </c>
      <c r="G13" s="15">
        <v>0</v>
      </c>
      <c r="I13" s="15">
        <f t="shared" si="0"/>
        <v>0</v>
      </c>
      <c r="J13" t="s">
        <v>25</v>
      </c>
    </row>
    <row r="14" spans="2:12">
      <c r="B14" t="s">
        <v>26</v>
      </c>
      <c r="F14">
        <v>12</v>
      </c>
      <c r="G14" s="15">
        <v>0</v>
      </c>
      <c r="I14" s="15">
        <f t="shared" si="0"/>
        <v>0</v>
      </c>
      <c r="J14" t="s">
        <v>25</v>
      </c>
    </row>
    <row r="15" spans="2:12">
      <c r="B15" s="1" t="s">
        <v>27</v>
      </c>
      <c r="G15" s="15"/>
      <c r="I15" s="16">
        <f>SUM(I4:I14)*4</f>
        <v>0</v>
      </c>
    </row>
    <row r="16" spans="2:12">
      <c r="B16" s="1"/>
      <c r="G16" s="15"/>
      <c r="I16" s="22"/>
    </row>
    <row r="17" spans="2:10" ht="15.75">
      <c r="B17" s="27" t="s">
        <v>28</v>
      </c>
      <c r="C17" s="27"/>
      <c r="D17" s="27"/>
      <c r="E17" s="27"/>
      <c r="F17" s="10" t="s">
        <v>19</v>
      </c>
      <c r="G17" s="10" t="s">
        <v>20</v>
      </c>
      <c r="H17" s="10"/>
      <c r="I17" s="10" t="s">
        <v>21</v>
      </c>
      <c r="J17" t="s">
        <v>29</v>
      </c>
    </row>
    <row r="18" spans="2:10" ht="21" customHeight="1">
      <c r="B18" s="28" t="s">
        <v>30</v>
      </c>
      <c r="C18" s="28"/>
      <c r="D18" s="28"/>
      <c r="F18">
        <v>12</v>
      </c>
      <c r="G18" s="15">
        <v>0</v>
      </c>
      <c r="I18" s="22">
        <f>SUM(F18*G18)</f>
        <v>0</v>
      </c>
    </row>
    <row r="19" spans="2:10">
      <c r="B19" t="s">
        <v>31</v>
      </c>
      <c r="F19">
        <v>12</v>
      </c>
      <c r="G19" s="15">
        <v>0</v>
      </c>
      <c r="I19" s="22">
        <f t="shared" ref="I19:I25" si="1">SUM(F19*G19)</f>
        <v>0</v>
      </c>
    </row>
    <row r="20" spans="2:10" ht="14.25" customHeight="1">
      <c r="B20" s="28" t="s">
        <v>32</v>
      </c>
      <c r="C20" s="28"/>
      <c r="F20">
        <v>12</v>
      </c>
      <c r="G20" s="15">
        <v>0</v>
      </c>
      <c r="I20" s="22">
        <f t="shared" si="1"/>
        <v>0</v>
      </c>
    </row>
    <row r="21" spans="2:10">
      <c r="B21" t="s">
        <v>33</v>
      </c>
      <c r="F21">
        <v>12</v>
      </c>
      <c r="G21" s="15">
        <v>0</v>
      </c>
      <c r="I21" s="22">
        <f t="shared" si="1"/>
        <v>0</v>
      </c>
    </row>
    <row r="22" spans="2:10">
      <c r="B22" t="s">
        <v>34</v>
      </c>
      <c r="F22">
        <v>12</v>
      </c>
      <c r="G22" s="15">
        <v>0</v>
      </c>
      <c r="I22" s="22">
        <f t="shared" si="1"/>
        <v>0</v>
      </c>
    </row>
    <row r="23" spans="2:10" ht="13.5" customHeight="1">
      <c r="B23" s="28" t="s">
        <v>35</v>
      </c>
      <c r="C23" s="28"/>
      <c r="D23" s="28"/>
      <c r="F23">
        <v>12</v>
      </c>
      <c r="G23" s="15">
        <v>0</v>
      </c>
      <c r="I23" s="22">
        <f t="shared" si="1"/>
        <v>0</v>
      </c>
    </row>
    <row r="24" spans="2:10">
      <c r="B24" t="s">
        <v>36</v>
      </c>
      <c r="F24">
        <v>12</v>
      </c>
      <c r="G24" s="15">
        <v>0</v>
      </c>
      <c r="I24" s="22">
        <f t="shared" si="1"/>
        <v>0</v>
      </c>
    </row>
    <row r="25" spans="2:10">
      <c r="B25" t="s">
        <v>37</v>
      </c>
      <c r="F25">
        <v>12</v>
      </c>
      <c r="G25" s="15">
        <v>0</v>
      </c>
      <c r="I25" s="22">
        <f t="shared" si="1"/>
        <v>0</v>
      </c>
    </row>
    <row r="26" spans="2:10">
      <c r="B26" s="1" t="s">
        <v>38</v>
      </c>
      <c r="G26" s="15"/>
      <c r="I26" s="16">
        <f>SUM(I15:I25)*4</f>
        <v>0</v>
      </c>
    </row>
    <row r="27" spans="2:10">
      <c r="G27" s="15"/>
      <c r="I27" s="22"/>
    </row>
    <row r="28" spans="2:10" ht="14.45" customHeight="1">
      <c r="B28" s="26" t="s">
        <v>39</v>
      </c>
      <c r="C28" s="26"/>
      <c r="D28" s="26"/>
      <c r="E28" s="26"/>
      <c r="F28" s="7" t="s">
        <v>40</v>
      </c>
      <c r="G28" s="7" t="s">
        <v>41</v>
      </c>
      <c r="H28" s="6"/>
      <c r="I28" s="7" t="s">
        <v>21</v>
      </c>
      <c r="J28" s="1"/>
    </row>
    <row r="29" spans="2:10">
      <c r="B29" t="s">
        <v>42</v>
      </c>
      <c r="F29">
        <v>1</v>
      </c>
      <c r="G29" s="25">
        <v>0</v>
      </c>
      <c r="I29" s="15">
        <f>SUM(F29*G29)</f>
        <v>0</v>
      </c>
    </row>
    <row r="30" spans="2:10">
      <c r="B30" t="s">
        <v>43</v>
      </c>
      <c r="F30">
        <v>1</v>
      </c>
      <c r="G30" s="25">
        <v>0</v>
      </c>
      <c r="I30" s="15">
        <f t="shared" ref="I30:I32" si="2">SUM(F30*G30)</f>
        <v>0</v>
      </c>
    </row>
    <row r="31" spans="2:10">
      <c r="B31" t="s">
        <v>44</v>
      </c>
      <c r="F31">
        <v>1</v>
      </c>
      <c r="G31" s="25">
        <v>0</v>
      </c>
      <c r="I31" s="15">
        <f t="shared" si="2"/>
        <v>0</v>
      </c>
      <c r="J31" t="s">
        <v>45</v>
      </c>
    </row>
    <row r="32" spans="2:10">
      <c r="B32" t="s">
        <v>46</v>
      </c>
      <c r="F32">
        <v>1</v>
      </c>
      <c r="G32" s="25">
        <v>0</v>
      </c>
      <c r="I32" s="15">
        <f t="shared" si="2"/>
        <v>0</v>
      </c>
    </row>
    <row r="33" spans="2:10">
      <c r="B33" s="1" t="s">
        <v>47</v>
      </c>
      <c r="I33" s="16">
        <f>SUM(I29:I32)</f>
        <v>0</v>
      </c>
    </row>
    <row r="34" spans="2:10">
      <c r="G34" s="15"/>
      <c r="I34" s="22"/>
    </row>
    <row r="35" spans="2:10" ht="20.25" customHeight="1">
      <c r="B35" s="26" t="s">
        <v>48</v>
      </c>
      <c r="C35" s="26"/>
      <c r="D35" s="26"/>
      <c r="E35" s="26"/>
      <c r="F35" s="7" t="s">
        <v>49</v>
      </c>
      <c r="G35" s="7" t="s">
        <v>41</v>
      </c>
      <c r="H35" s="6"/>
      <c r="I35" s="7" t="s">
        <v>21</v>
      </c>
      <c r="J35" t="s">
        <v>29</v>
      </c>
    </row>
    <row r="36" spans="2:10">
      <c r="B36" s="28" t="s">
        <v>30</v>
      </c>
      <c r="C36" s="28"/>
      <c r="F36">
        <v>9</v>
      </c>
      <c r="G36" s="15">
        <v>0</v>
      </c>
      <c r="I36" s="22">
        <f>SUM(F36*G36)</f>
        <v>0</v>
      </c>
    </row>
    <row r="37" spans="2:10">
      <c r="B37" t="s">
        <v>31</v>
      </c>
      <c r="F37">
        <v>9</v>
      </c>
      <c r="G37" s="15">
        <v>0</v>
      </c>
      <c r="I37" s="22">
        <f t="shared" ref="I37:I43" si="3">SUM(F37*G37)</f>
        <v>0</v>
      </c>
    </row>
    <row r="38" spans="2:10">
      <c r="B38" s="28" t="s">
        <v>32</v>
      </c>
      <c r="C38" s="28"/>
      <c r="F38">
        <v>9</v>
      </c>
      <c r="G38" s="15">
        <v>0</v>
      </c>
      <c r="I38" s="22">
        <f t="shared" si="3"/>
        <v>0</v>
      </c>
    </row>
    <row r="39" spans="2:10">
      <c r="B39" t="s">
        <v>33</v>
      </c>
      <c r="F39">
        <v>9</v>
      </c>
      <c r="G39" s="15">
        <v>0</v>
      </c>
      <c r="I39" s="22">
        <f t="shared" si="3"/>
        <v>0</v>
      </c>
    </row>
    <row r="40" spans="2:10">
      <c r="B40" t="s">
        <v>34</v>
      </c>
      <c r="F40">
        <v>9</v>
      </c>
      <c r="G40" s="15">
        <v>0</v>
      </c>
      <c r="I40" s="22">
        <f t="shared" si="3"/>
        <v>0</v>
      </c>
    </row>
    <row r="41" spans="2:10">
      <c r="B41" s="28" t="s">
        <v>35</v>
      </c>
      <c r="C41" s="28"/>
      <c r="D41" s="28"/>
      <c r="F41">
        <v>9</v>
      </c>
      <c r="G41" s="15">
        <v>0</v>
      </c>
      <c r="I41" s="22">
        <f t="shared" si="3"/>
        <v>0</v>
      </c>
    </row>
    <row r="42" spans="2:10">
      <c r="B42" t="s">
        <v>36</v>
      </c>
      <c r="F42">
        <v>9</v>
      </c>
      <c r="G42" s="15">
        <v>0</v>
      </c>
      <c r="I42" s="22">
        <f t="shared" si="3"/>
        <v>0</v>
      </c>
    </row>
    <row r="43" spans="2:10">
      <c r="B43" t="s">
        <v>37</v>
      </c>
      <c r="F43">
        <v>9</v>
      </c>
      <c r="G43" s="15">
        <v>0</v>
      </c>
      <c r="I43" s="22">
        <f t="shared" si="3"/>
        <v>0</v>
      </c>
    </row>
    <row r="44" spans="2:10">
      <c r="B44" s="1" t="s">
        <v>50</v>
      </c>
      <c r="G44" s="15"/>
      <c r="I44" s="16">
        <f>SUM(I34:I43)</f>
        <v>0</v>
      </c>
    </row>
    <row r="45" spans="2:10">
      <c r="G45" s="15"/>
      <c r="I45" s="22"/>
    </row>
    <row r="46" spans="2:10" ht="15.75">
      <c r="B46" s="11" t="s">
        <v>51</v>
      </c>
      <c r="C46" s="9"/>
      <c r="D46" s="9"/>
      <c r="E46" s="9"/>
      <c r="F46" s="7" t="s">
        <v>52</v>
      </c>
      <c r="G46" s="7" t="s">
        <v>41</v>
      </c>
      <c r="H46" s="5"/>
      <c r="I46" s="7" t="s">
        <v>21</v>
      </c>
      <c r="J46" s="9" t="s">
        <v>53</v>
      </c>
    </row>
    <row r="47" spans="2:10">
      <c r="B47" t="s">
        <v>54</v>
      </c>
      <c r="F47">
        <v>1</v>
      </c>
      <c r="G47" s="15">
        <v>0</v>
      </c>
      <c r="I47" s="15">
        <f>SUM(F47*G47)</f>
        <v>0</v>
      </c>
      <c r="J47" t="s">
        <v>55</v>
      </c>
    </row>
    <row r="48" spans="2:10">
      <c r="B48" t="s">
        <v>56</v>
      </c>
      <c r="F48">
        <v>1</v>
      </c>
      <c r="G48" s="15">
        <v>0</v>
      </c>
      <c r="I48" s="15">
        <f>SUM(F48*G48)</f>
        <v>0</v>
      </c>
      <c r="J48" t="s">
        <v>55</v>
      </c>
    </row>
    <row r="49" spans="2:10">
      <c r="B49" s="1" t="s">
        <v>57</v>
      </c>
      <c r="I49" s="16">
        <f>SUM(I47:I48)</f>
        <v>0</v>
      </c>
    </row>
    <row r="50" spans="2:10">
      <c r="G50" s="15"/>
      <c r="I50" s="22"/>
    </row>
    <row r="51" spans="2:10">
      <c r="G51" s="15"/>
      <c r="I51" s="22"/>
    </row>
    <row r="52" spans="2:10" ht="30.75" customHeight="1">
      <c r="B52" s="26" t="s">
        <v>58</v>
      </c>
      <c r="C52" s="26"/>
      <c r="D52" s="26"/>
      <c r="E52" s="26"/>
      <c r="F52" s="7" t="s">
        <v>40</v>
      </c>
      <c r="G52" s="7" t="s">
        <v>41</v>
      </c>
      <c r="H52" s="6"/>
      <c r="I52" s="7" t="s">
        <v>21</v>
      </c>
    </row>
    <row r="53" spans="2:10" ht="14.45" customHeight="1">
      <c r="B53" t="s">
        <v>59</v>
      </c>
      <c r="F53">
        <v>1</v>
      </c>
      <c r="G53" s="25">
        <v>0</v>
      </c>
      <c r="I53" s="15">
        <f t="shared" ref="I53" si="4">SUM(F53*G53)</f>
        <v>0</v>
      </c>
      <c r="J53" s="24" t="s">
        <v>60</v>
      </c>
    </row>
    <row r="54" spans="2:10" ht="15.6" customHeight="1">
      <c r="B54" s="1" t="s">
        <v>61</v>
      </c>
      <c r="I54" s="16">
        <f>SUM(I53)</f>
        <v>0</v>
      </c>
    </row>
    <row r="55" spans="2:10" ht="18.75" customHeight="1"/>
    <row r="56" spans="2:10" ht="28.5" customHeight="1">
      <c r="B56" s="26" t="s">
        <v>62</v>
      </c>
      <c r="C56" s="26"/>
      <c r="D56" s="26"/>
      <c r="E56" s="26"/>
      <c r="F56" s="7" t="s">
        <v>19</v>
      </c>
      <c r="G56" s="7" t="s">
        <v>41</v>
      </c>
      <c r="H56" s="7" t="s">
        <v>49</v>
      </c>
      <c r="I56" s="7" t="s">
        <v>21</v>
      </c>
    </row>
    <row r="57" spans="2:10">
      <c r="B57" t="s">
        <v>63</v>
      </c>
      <c r="F57">
        <v>12</v>
      </c>
      <c r="G57" s="25">
        <v>0</v>
      </c>
      <c r="H57">
        <v>3</v>
      </c>
      <c r="I57" s="15">
        <f>SUM(F57*G57)*H57</f>
        <v>0</v>
      </c>
      <c r="J57" t="s">
        <v>64</v>
      </c>
    </row>
    <row r="58" spans="2:10">
      <c r="B58" t="s">
        <v>65</v>
      </c>
      <c r="F58">
        <v>12</v>
      </c>
      <c r="G58" s="25">
        <v>0</v>
      </c>
      <c r="H58">
        <v>3</v>
      </c>
      <c r="I58" s="15">
        <f>SUM(F58*G58)*H58</f>
        <v>0</v>
      </c>
      <c r="J58" t="s">
        <v>66</v>
      </c>
    </row>
    <row r="59" spans="2:10">
      <c r="B59" t="s">
        <v>67</v>
      </c>
      <c r="F59">
        <v>12</v>
      </c>
      <c r="G59" s="25">
        <v>0</v>
      </c>
      <c r="H59">
        <v>3</v>
      </c>
      <c r="I59" s="15">
        <f>SUM(F59*G59)*H59</f>
        <v>0</v>
      </c>
      <c r="J59" t="s">
        <v>68</v>
      </c>
    </row>
    <row r="60" spans="2:10">
      <c r="B60" s="1" t="s">
        <v>69</v>
      </c>
      <c r="I60" s="16">
        <f>SUM(I57:I59)*4</f>
        <v>0</v>
      </c>
    </row>
    <row r="62" spans="2:10">
      <c r="B62" s="7" t="s">
        <v>70</v>
      </c>
      <c r="C62" s="7"/>
      <c r="D62" s="7"/>
      <c r="E62" s="7"/>
      <c r="F62" s="7" t="s">
        <v>71</v>
      </c>
      <c r="G62" s="7" t="s">
        <v>41</v>
      </c>
      <c r="H62" s="7"/>
      <c r="I62" s="7" t="s">
        <v>21</v>
      </c>
    </row>
    <row r="63" spans="2:10">
      <c r="B63" t="s">
        <v>72</v>
      </c>
      <c r="F63">
        <v>10</v>
      </c>
      <c r="G63" s="25">
        <v>0</v>
      </c>
      <c r="I63" s="15">
        <f t="shared" ref="I63:I65" si="5">SUM(F63*G63)</f>
        <v>0</v>
      </c>
      <c r="J63" t="s">
        <v>73</v>
      </c>
    </row>
    <row r="64" spans="2:10">
      <c r="B64" t="s">
        <v>74</v>
      </c>
      <c r="F64">
        <v>10</v>
      </c>
      <c r="G64" s="25">
        <v>0</v>
      </c>
      <c r="I64" s="15">
        <f t="shared" si="5"/>
        <v>0</v>
      </c>
    </row>
    <row r="65" spans="2:10">
      <c r="B65" t="s">
        <v>75</v>
      </c>
      <c r="F65">
        <v>10</v>
      </c>
      <c r="G65" s="25">
        <v>0</v>
      </c>
      <c r="I65" s="15">
        <f t="shared" si="5"/>
        <v>0</v>
      </c>
    </row>
    <row r="66" spans="2:10">
      <c r="B66" s="1" t="s">
        <v>76</v>
      </c>
      <c r="I66" s="16">
        <f>SUM(I63:I64)</f>
        <v>0</v>
      </c>
    </row>
    <row r="68" spans="2:10">
      <c r="B68" s="7" t="s">
        <v>77</v>
      </c>
      <c r="C68" s="7"/>
      <c r="D68" s="7"/>
      <c r="E68" s="7"/>
      <c r="F68" s="7" t="s">
        <v>71</v>
      </c>
      <c r="G68" s="7" t="s">
        <v>41</v>
      </c>
      <c r="H68" s="7"/>
      <c r="I68" s="7" t="s">
        <v>21</v>
      </c>
      <c r="J68" s="7"/>
    </row>
    <row r="69" spans="2:10">
      <c r="B69" t="s">
        <v>78</v>
      </c>
      <c r="F69">
        <v>10</v>
      </c>
      <c r="G69" s="18">
        <v>0</v>
      </c>
      <c r="I69" s="15">
        <f>SUM(F69*G69)*12</f>
        <v>0</v>
      </c>
    </row>
    <row r="70" spans="2:10">
      <c r="B70" t="s">
        <v>74</v>
      </c>
      <c r="F70">
        <v>10</v>
      </c>
      <c r="G70" s="18">
        <v>0</v>
      </c>
      <c r="I70" s="15">
        <f t="shared" ref="I70:I71" si="6">SUM(F70*G70)*12</f>
        <v>0</v>
      </c>
    </row>
    <row r="71" spans="2:10">
      <c r="B71" t="s">
        <v>75</v>
      </c>
      <c r="F71">
        <v>10</v>
      </c>
      <c r="G71" s="18">
        <v>0</v>
      </c>
      <c r="I71" s="15">
        <f t="shared" si="6"/>
        <v>0</v>
      </c>
      <c r="J71" s="29"/>
    </row>
    <row r="72" spans="2:10">
      <c r="B72" s="1" t="s">
        <v>79</v>
      </c>
      <c r="I72" s="16">
        <f>SUM(I69:I71)*4</f>
        <v>0</v>
      </c>
    </row>
    <row r="74" spans="2:10">
      <c r="B74" s="7" t="s">
        <v>80</v>
      </c>
      <c r="C74" s="8"/>
      <c r="D74" s="8"/>
      <c r="E74" s="8"/>
      <c r="F74" s="7" t="s">
        <v>81</v>
      </c>
      <c r="G74" s="7" t="s">
        <v>82</v>
      </c>
      <c r="H74" s="8"/>
      <c r="I74" s="7" t="s">
        <v>21</v>
      </c>
      <c r="J74" s="8"/>
    </row>
    <row r="75" spans="2:10">
      <c r="B75" s="12" t="s">
        <v>83</v>
      </c>
      <c r="F75">
        <v>50</v>
      </c>
      <c r="G75" s="17">
        <v>0</v>
      </c>
      <c r="I75" s="15">
        <f t="shared" ref="I75:I76" si="7">SUM(F75*G75)</f>
        <v>0</v>
      </c>
    </row>
    <row r="76" spans="2:10">
      <c r="B76" s="12" t="s">
        <v>84</v>
      </c>
      <c r="F76">
        <v>100</v>
      </c>
      <c r="G76" s="17">
        <v>0</v>
      </c>
      <c r="I76" s="15">
        <f t="shared" si="7"/>
        <v>0</v>
      </c>
    </row>
    <row r="77" spans="2:10">
      <c r="B77" s="14" t="s">
        <v>85</v>
      </c>
      <c r="G77" s="17"/>
      <c r="I77" s="16">
        <f>SUM(I75:I76)</f>
        <v>0</v>
      </c>
    </row>
    <row r="80" spans="2:10" ht="15.75">
      <c r="B80" s="9" t="s">
        <v>86</v>
      </c>
      <c r="C80" s="9"/>
      <c r="D80" s="9"/>
      <c r="I80" s="19"/>
    </row>
    <row r="81" spans="2:9" ht="15.75">
      <c r="B81" s="13" t="s">
        <v>27</v>
      </c>
      <c r="C81" s="13"/>
      <c r="D81" s="13"/>
      <c r="I81" s="16">
        <f>SUM(I15)</f>
        <v>0</v>
      </c>
    </row>
    <row r="82" spans="2:9" ht="15.75">
      <c r="B82" s="23" t="s">
        <v>38</v>
      </c>
      <c r="C82" s="13"/>
      <c r="D82" s="13"/>
      <c r="I82" s="16">
        <f>SUM(I26)</f>
        <v>0</v>
      </c>
    </row>
    <row r="83" spans="2:9" ht="15.75">
      <c r="B83" s="23" t="s">
        <v>47</v>
      </c>
      <c r="C83" s="13"/>
      <c r="D83" s="13"/>
      <c r="I83" s="16">
        <f>SUM(I33)</f>
        <v>0</v>
      </c>
    </row>
    <row r="84" spans="2:9" ht="15.75">
      <c r="B84" s="23" t="s">
        <v>50</v>
      </c>
      <c r="C84" s="13"/>
      <c r="D84" s="13"/>
      <c r="I84" s="16">
        <f>SUM(I44)</f>
        <v>0</v>
      </c>
    </row>
    <row r="85" spans="2:9" ht="15.75">
      <c r="B85" s="23" t="s">
        <v>57</v>
      </c>
      <c r="C85" s="13"/>
      <c r="D85" s="13"/>
      <c r="I85" s="16">
        <f>SUM(I49)</f>
        <v>0</v>
      </c>
    </row>
    <row r="86" spans="2:9" ht="15.75">
      <c r="B86" s="23" t="s">
        <v>61</v>
      </c>
      <c r="C86" s="13"/>
      <c r="D86" s="13"/>
      <c r="I86" s="16">
        <f>SUM(I54)</f>
        <v>0</v>
      </c>
    </row>
    <row r="87" spans="2:9" ht="15.75">
      <c r="B87" s="23" t="s">
        <v>69</v>
      </c>
      <c r="C87" s="13"/>
      <c r="D87" s="13"/>
      <c r="I87" s="16">
        <f>SUM(I60)</f>
        <v>0</v>
      </c>
    </row>
    <row r="88" spans="2:9" ht="15.75">
      <c r="B88" s="13" t="s">
        <v>76</v>
      </c>
      <c r="C88" s="13"/>
      <c r="D88" s="13"/>
      <c r="I88" s="16">
        <f>SUM(I66)</f>
        <v>0</v>
      </c>
    </row>
    <row r="89" spans="2:9" ht="15.75">
      <c r="B89" s="23" t="s">
        <v>79</v>
      </c>
      <c r="C89" s="13"/>
      <c r="D89" s="13"/>
      <c r="I89" s="16">
        <f>SUM(I72)</f>
        <v>0</v>
      </c>
    </row>
    <row r="90" spans="2:9" ht="15.75">
      <c r="B90" s="13" t="s">
        <v>87</v>
      </c>
      <c r="C90" s="13"/>
      <c r="D90" s="13"/>
      <c r="I90" s="16">
        <f>SUM(I77)</f>
        <v>0</v>
      </c>
    </row>
    <row r="91" spans="2:9" ht="16.5" thickBot="1">
      <c r="B91" s="13" t="s">
        <v>88</v>
      </c>
      <c r="C91" s="13"/>
      <c r="D91" s="13"/>
      <c r="I91" s="20">
        <f>SUM(I81:I90)</f>
        <v>0</v>
      </c>
    </row>
  </sheetData>
  <mergeCells count="12">
    <mergeCell ref="B56:E56"/>
    <mergeCell ref="B28:E28"/>
    <mergeCell ref="B3:E3"/>
    <mergeCell ref="B52:E52"/>
    <mergeCell ref="B17:E17"/>
    <mergeCell ref="B20:C20"/>
    <mergeCell ref="B23:D23"/>
    <mergeCell ref="B35:E35"/>
    <mergeCell ref="B36:C36"/>
    <mergeCell ref="B38:C38"/>
    <mergeCell ref="B41:D41"/>
    <mergeCell ref="B18:D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149EA9D1DEA14386A58214E6947DE3" ma:contentTypeVersion="11" ma:contentTypeDescription="Create a new document." ma:contentTypeScope="" ma:versionID="c8f7f4dc1018fe9e543a8e08d89d27a8">
  <xsd:schema xmlns:xsd="http://www.w3.org/2001/XMLSchema" xmlns:xs="http://www.w3.org/2001/XMLSchema" xmlns:p="http://schemas.microsoft.com/office/2006/metadata/properties" xmlns:ns2="bba569f1-97cc-4669-9a89-ca8c3e86b6c6" xmlns:ns3="2575404a-c935-4ca0-8912-1fe9af0652c4" targetNamespace="http://schemas.microsoft.com/office/2006/metadata/properties" ma:root="true" ma:fieldsID="27b4e27138231a214c26f0cc3e2a996c" ns2:_="" ns3:_="">
    <xsd:import namespace="bba569f1-97cc-4669-9a89-ca8c3e86b6c6"/>
    <xsd:import namespace="2575404a-c935-4ca0-8912-1fe9af065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569f1-97cc-4669-9a89-ca8c3e86b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170e227-363c-41ac-b37d-b9f0b64444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5404a-c935-4ca0-8912-1fe9af0652c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11ac652-6fd2-4a48-b436-886dae05c108}" ma:internalName="TaxCatchAll" ma:showField="CatchAllData" ma:web="2575404a-c935-4ca0-8912-1fe9af065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a569f1-97cc-4669-9a89-ca8c3e86b6c6">
      <Terms xmlns="http://schemas.microsoft.com/office/infopath/2007/PartnerControls"/>
    </lcf76f155ced4ddcb4097134ff3c332f>
    <TaxCatchAll xmlns="2575404a-c935-4ca0-8912-1fe9af0652c4" xsi:nil="true"/>
  </documentManagement>
</p:properties>
</file>

<file path=customXml/itemProps1.xml><?xml version="1.0" encoding="utf-8"?>
<ds:datastoreItem xmlns:ds="http://schemas.openxmlformats.org/officeDocument/2006/customXml" ds:itemID="{8C33FE5D-4581-4EBE-B817-771A9B365053}"/>
</file>

<file path=customXml/itemProps2.xml><?xml version="1.0" encoding="utf-8"?>
<ds:datastoreItem xmlns:ds="http://schemas.openxmlformats.org/officeDocument/2006/customXml" ds:itemID="{A55C6E1D-EF4D-470F-BF5E-7EDF52833039}"/>
</file>

<file path=customXml/itemProps3.xml><?xml version="1.0" encoding="utf-8"?>
<ds:datastoreItem xmlns:ds="http://schemas.openxmlformats.org/officeDocument/2006/customXml" ds:itemID="{10076FB7-FBF0-4F4B-B8BB-A00F6081A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Innlandet fylkeskommune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Tangnæs, Anne Grethe</dc:creator>
  <cp:keywords/>
  <dc:description/>
  <cp:lastModifiedBy>Pål Sætre</cp:lastModifiedBy>
  <cp:revision/>
  <dcterms:created xsi:type="dcterms:W3CDTF">2020-07-01T07:50:44Z</dcterms:created>
  <dcterms:modified xsi:type="dcterms:W3CDTF">2025-12-04T09:21:47Z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0x010100A3149EA9D1DEA14386A58214E6947DE3</vt:lpwstr>
  </property>
  <property fmtid="{D5CDD505-2E9C-101B-9397-08002B2CF9AE}" pid="3" name="MediaServiceImageTags">
    <vt:lpwstr/>
  </property>
  <property fmtid="{D5CDD505-2E9C-101B-9397-08002B2CF9AE}" pid="4" name="Order">
    <vt:r8>5300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SIP_Label_4d6207f6-27ac-4cd3-a0c9-72f894e91b6e_Enabled">
    <vt:lpwstr>true</vt:lpwstr>
  </property>
  <property fmtid="{D5CDD505-2E9C-101B-9397-08002B2CF9AE}" pid="12" name="MSIP_Label_4d6207f6-27ac-4cd3-a0c9-72f894e91b6e_SetDate">
    <vt:lpwstr>2024-05-02T11:49:26Z</vt:lpwstr>
  </property>
  <property fmtid="{D5CDD505-2E9C-101B-9397-08002B2CF9AE}" pid="13" name="MSIP_Label_4d6207f6-27ac-4cd3-a0c9-72f894e91b6e_Method">
    <vt:lpwstr>Privileged</vt:lpwstr>
  </property>
  <property fmtid="{D5CDD505-2E9C-101B-9397-08002B2CF9AE}" pid="14" name="MSIP_Label_4d6207f6-27ac-4cd3-a0c9-72f894e91b6e_Name">
    <vt:lpwstr>defa4170-0d19-0005-0005-bc88714345d2</vt:lpwstr>
  </property>
  <property fmtid="{D5CDD505-2E9C-101B-9397-08002B2CF9AE}" pid="15" name="MSIP_Label_4d6207f6-27ac-4cd3-a0c9-72f894e91b6e_SiteId">
    <vt:lpwstr>9ce76d42-5ecb-4d8f-939b-a462ad28cf34</vt:lpwstr>
  </property>
  <property fmtid="{D5CDD505-2E9C-101B-9397-08002B2CF9AE}" pid="16" name="MSIP_Label_4d6207f6-27ac-4cd3-a0c9-72f894e91b6e_ActionId">
    <vt:lpwstr>50f79ef7-aeef-4538-b325-11e9074f775f</vt:lpwstr>
  </property>
  <property fmtid="{D5CDD505-2E9C-101B-9397-08002B2CF9AE}" pid="17" name="MSIP_Label_4d6207f6-27ac-4cd3-a0c9-72f894e91b6e_ContentBits">
    <vt:lpwstr>1</vt:lpwstr>
  </property>
</Properties>
</file>